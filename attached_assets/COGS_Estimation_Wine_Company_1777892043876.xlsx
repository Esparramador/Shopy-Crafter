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GS by Wine Tier" sheetId="2" state="visible" r:id="rId2"/>
    <sheet xmlns:r="http://schemas.openxmlformats.org/officeDocument/2006/relationships" name="Annual Proj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&quot;$&quot;#,##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b val="1"/>
    </font>
    <font>
      <color rgb="000000FF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22F37"/>
      </patternFill>
    </fill>
    <fill>
      <patternFill patternType="solid">
        <fgColor rgb="00F2D7D5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4" borderId="1" pivotButton="0" quotePrefix="0" xfId="0"/>
    <xf numFmtId="0" fontId="5" fillId="0" borderId="0" pivotButton="0" quotePrefix="0" xfId="0"/>
    <xf numFmtId="0" fontId="6" fillId="2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18" customWidth="1" min="4" max="4"/>
    <col width="32" customWidth="1" min="5" max="5"/>
  </cols>
  <sheetData>
    <row r="1">
      <c r="A1" s="1" t="inlineStr">
        <is>
          <t>COGS ESTIMATION MODEL - WINE COMPANY (2026)</t>
        </is>
      </c>
    </row>
    <row r="3">
      <c r="A3" s="2" t="inlineStr">
        <is>
          <t>KEY ASSUMPTIONS (Blue text = Editable Inputs | Yellow = Key variables)</t>
        </is>
      </c>
    </row>
    <row r="5">
      <c r="A5" s="3" t="inlineStr">
        <is>
          <t>Category</t>
        </is>
      </c>
      <c r="B5" s="3" t="inlineStr">
        <is>
          <t>Item</t>
        </is>
      </c>
      <c r="C5" s="3" t="inlineStr">
        <is>
          <t>Unit</t>
        </is>
      </c>
      <c r="D5" s="3" t="inlineStr">
        <is>
          <t>Cost (USD)</t>
        </is>
      </c>
      <c r="E5" s="3" t="inlineStr">
        <is>
          <t>Notes / Source</t>
        </is>
      </c>
    </row>
    <row r="6">
      <c r="A6" s="4" t="inlineStr">
        <is>
          <t>Raw Materials</t>
        </is>
      </c>
      <c r="B6" s="4" t="inlineStr">
        <is>
          <t>Grapes (bulk wine equivalent)</t>
        </is>
      </c>
      <c r="C6" s="4" t="inlineStr">
        <is>
          <t>per liter</t>
        </is>
      </c>
      <c r="D6" s="5" t="n">
        <v>2.8</v>
      </c>
      <c r="E6" s="4" t="inlineStr">
        <is>
          <t>Average 2026 estimate</t>
        </is>
      </c>
    </row>
    <row r="7">
      <c r="A7" s="4" t="inlineStr">
        <is>
          <t>Raw Materials</t>
        </is>
      </c>
      <c r="B7" s="4" t="inlineStr">
        <is>
          <t>Glass bottle (750ml)</t>
        </is>
      </c>
      <c r="C7" s="4" t="inlineStr">
        <is>
          <t>per unit</t>
        </is>
      </c>
      <c r="D7" s="5" t="n">
        <v>0.85</v>
      </c>
      <c r="E7" s="4" t="inlineStr">
        <is>
          <t>Standard Bordeaux shape</t>
        </is>
      </c>
    </row>
    <row r="8">
      <c r="A8" s="4" t="inlineStr">
        <is>
          <t>Raw Materials</t>
        </is>
      </c>
      <c r="B8" s="4" t="inlineStr">
        <is>
          <t>Cork + Capsule</t>
        </is>
      </c>
      <c r="C8" s="4" t="inlineStr">
        <is>
          <t>per unit</t>
        </is>
      </c>
      <c r="D8" s="5" t="n">
        <v>0.35</v>
      </c>
      <c r="E8" s="4" t="inlineStr">
        <is>
          <t>Natural cork + PVC capsule</t>
        </is>
      </c>
    </row>
    <row r="9">
      <c r="A9" s="4" t="inlineStr">
        <is>
          <t>Raw Materials</t>
        </is>
      </c>
      <c r="B9" s="4" t="inlineStr">
        <is>
          <t>Label + Back label</t>
        </is>
      </c>
      <c r="C9" s="4" t="inlineStr">
        <is>
          <t>per unit</t>
        </is>
      </c>
      <c r="D9" s="5" t="n">
        <v>0.22</v>
      </c>
      <c r="E9" s="4" t="inlineStr">
        <is>
          <t>High quality matte</t>
        </is>
      </c>
    </row>
    <row r="10">
      <c r="A10" s="4" t="inlineStr">
        <is>
          <t>Packaging</t>
        </is>
      </c>
      <c r="B10" s="4" t="inlineStr">
        <is>
          <t>Cardboard box (6 bottles)</t>
        </is>
      </c>
      <c r="C10" s="4" t="inlineStr">
        <is>
          <t>per box</t>
        </is>
      </c>
      <c r="D10" s="5" t="n">
        <v>1.45</v>
      </c>
      <c r="E10" s="4" t="inlineStr">
        <is>
          <t>For shipping</t>
        </is>
      </c>
    </row>
    <row r="11">
      <c r="A11" s="4" t="inlineStr">
        <is>
          <t>Production</t>
        </is>
      </c>
      <c r="B11" s="4" t="inlineStr">
        <is>
          <t>Bottling + Labeling labor</t>
        </is>
      </c>
      <c r="C11" s="4" t="inlineStr">
        <is>
          <t>per bottle</t>
        </is>
      </c>
      <c r="D11" s="5" t="n">
        <v>0.65</v>
      </c>
      <c r="E11" s="4" t="inlineStr">
        <is>
          <t>Contract winery rate</t>
        </is>
      </c>
    </row>
    <row r="12">
      <c r="A12" s="4" t="inlineStr">
        <is>
          <t>Production</t>
        </is>
      </c>
      <c r="B12" s="4" t="inlineStr">
        <is>
          <t>Quality control + Testing</t>
        </is>
      </c>
      <c r="C12" s="4" t="inlineStr">
        <is>
          <t>per bottle</t>
        </is>
      </c>
      <c r="D12" s="5" t="n">
        <v>0.18</v>
      </c>
      <c r="E12" s="4" t="inlineStr">
        <is>
          <t>Lab analysis</t>
        </is>
      </c>
    </row>
    <row r="13">
      <c r="A13" s="4" t="inlineStr">
        <is>
          <t>Logistics</t>
        </is>
      </c>
      <c r="B13" s="4" t="inlineStr">
        <is>
          <t>Domestic shipping (US)</t>
        </is>
      </c>
      <c r="C13" s="4" t="inlineStr">
        <is>
          <t>per 6-bottle box</t>
        </is>
      </c>
      <c r="D13" s="5" t="n">
        <v>7.5</v>
      </c>
      <c r="E13" s="4" t="inlineStr">
        <is>
          <t>UPS/FedEx ground</t>
        </is>
      </c>
    </row>
    <row r="14">
      <c r="A14" s="4" t="inlineStr">
        <is>
          <t>Logistics</t>
        </is>
      </c>
      <c r="B14" s="4" t="inlineStr">
        <is>
          <t>International shipping</t>
        </is>
      </c>
      <c r="C14" s="4" t="inlineStr">
        <is>
          <t>per 6-bottle box</t>
        </is>
      </c>
      <c r="D14" s="5" t="n">
        <v>18</v>
      </c>
      <c r="E14" s="4" t="inlineStr">
        <is>
          <t>Average to EU/Asia</t>
        </is>
      </c>
    </row>
    <row r="15">
      <c r="A15" s="4" t="inlineStr">
        <is>
          <t>Import</t>
        </is>
      </c>
      <c r="B15" s="4" t="inlineStr">
        <is>
          <t>Customs + Duties (if importing)</t>
        </is>
      </c>
      <c r="C15" s="4" t="inlineStr">
        <is>
          <t>% of value</t>
        </is>
      </c>
      <c r="D15" s="5" t="inlineStr">
        <is>
          <t>8.5%</t>
        </is>
      </c>
      <c r="E15" s="4" t="inlineStr">
        <is>
          <t>Average for wine</t>
        </is>
      </c>
    </row>
    <row r="16">
      <c r="A16" s="4" t="inlineStr">
        <is>
          <t>Payment</t>
        </is>
      </c>
      <c r="B16" s="4" t="inlineStr">
        <is>
          <t>Stripe / Payment processor</t>
        </is>
      </c>
      <c r="C16" s="4" t="inlineStr">
        <is>
          <t>% + fixed</t>
        </is>
      </c>
      <c r="D16" s="5" t="inlineStr">
        <is>
          <t>2.9% + $0.30</t>
        </is>
      </c>
      <c r="E16" s="4" t="inlineStr">
        <is>
          <t>Standard DTC</t>
        </is>
      </c>
    </row>
    <row r="17">
      <c r="A17" s="4" t="inlineStr">
        <is>
          <t>Marketing</t>
        </is>
      </c>
      <c r="B17" s="4" t="inlineStr">
        <is>
          <t>Customer Acquisition Cost (CAC)</t>
        </is>
      </c>
      <c r="C17" s="4" t="inlineStr">
        <is>
          <t>per bottle</t>
        </is>
      </c>
      <c r="D17" s="5" t="n">
        <v>4.5</v>
      </c>
      <c r="E17" s="4" t="inlineStr">
        <is>
          <t>Blended online + events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6" t="inlineStr">
        <is>
          <t>PRODUCTION COST PER BOTTLE BY WINE TIER</t>
        </is>
      </c>
    </row>
    <row r="3">
      <c r="A3" s="7" t="inlineStr">
        <is>
          <t>Wine Tier</t>
        </is>
      </c>
      <c r="B3" s="7" t="inlineStr">
        <is>
          <t>Retail Price</t>
        </is>
      </c>
      <c r="C3" s="7" t="inlineStr">
        <is>
          <t>Grapes + Production</t>
        </is>
      </c>
      <c r="D3" s="7" t="inlineStr">
        <is>
          <t>Packaging</t>
        </is>
      </c>
      <c r="E3" s="7" t="inlineStr">
        <is>
          <t>Shipping</t>
        </is>
      </c>
      <c r="F3" s="7" t="inlineStr">
        <is>
          <t>Payment + CAC</t>
        </is>
      </c>
      <c r="G3" s="7" t="inlineStr">
        <is>
          <t>Total COGS</t>
        </is>
      </c>
      <c r="H3" s="7" t="inlineStr">
        <is>
          <t>Gross Margin</t>
        </is>
      </c>
    </row>
    <row r="4">
      <c r="A4" s="4" t="inlineStr">
        <is>
          <t>Entry-Level Wine (supermarket/online)</t>
        </is>
      </c>
      <c r="B4" s="4" t="n">
        <v>14.99</v>
      </c>
      <c r="C4" s="5" t="n">
        <v>3.8</v>
      </c>
      <c r="D4" s="5" t="n">
        <v>1.42</v>
      </c>
      <c r="E4" s="5" t="n">
        <v>1.25</v>
      </c>
      <c r="F4" s="5" t="n">
        <v>2.1</v>
      </c>
      <c r="G4" s="8">
        <f>B4+C4+D4+E4+F4</f>
        <v/>
      </c>
      <c r="H4" s="9" t="n">
        <v>0.48</v>
      </c>
    </row>
    <row r="5">
      <c r="A5" s="4" t="inlineStr">
        <is>
          <t>Mid-Range Wine ($25-35)</t>
        </is>
      </c>
      <c r="B5" s="4" t="n">
        <v>29.99</v>
      </c>
      <c r="C5" s="5" t="n">
        <v>6.2</v>
      </c>
      <c r="D5" s="5" t="n">
        <v>1.42</v>
      </c>
      <c r="E5" s="5" t="n">
        <v>1.25</v>
      </c>
      <c r="F5" s="5" t="n">
        <v>3.8</v>
      </c>
      <c r="G5" s="8">
        <f>B5+C5+D5+E5+F5</f>
        <v/>
      </c>
      <c r="H5" s="9" t="n">
        <v>0.58</v>
      </c>
    </row>
    <row r="6">
      <c r="A6" s="4" t="inlineStr">
        <is>
          <t>Premium Wine ($45-65)</t>
        </is>
      </c>
      <c r="B6" s="4" t="n">
        <v>54.99</v>
      </c>
      <c r="C6" s="5" t="n">
        <v>11.5</v>
      </c>
      <c r="D6" s="5" t="n">
        <v>1.65</v>
      </c>
      <c r="E6" s="5" t="n">
        <v>1.8</v>
      </c>
      <c r="F6" s="5" t="n">
        <v>6.5</v>
      </c>
      <c r="G6" s="8">
        <f>B6+C6+D6+E6+F6</f>
        <v/>
      </c>
      <c r="H6" s="9" t="n">
        <v>0.64</v>
      </c>
    </row>
    <row r="7">
      <c r="A7" s="4" t="inlineStr">
        <is>
          <t>Reserve / Icon Wine ($90+)</t>
        </is>
      </c>
      <c r="B7" s="4" t="n">
        <v>119</v>
      </c>
      <c r="C7" s="5" t="n">
        <v>22</v>
      </c>
      <c r="D7" s="5" t="n">
        <v>2.1</v>
      </c>
      <c r="E7" s="5" t="n">
        <v>2.5</v>
      </c>
      <c r="F7" s="5" t="n">
        <v>12</v>
      </c>
      <c r="G7" s="8">
        <f>B7+C7+D7+E7+F7</f>
        <v/>
      </c>
      <c r="H7" s="9" t="n">
        <v>0.68</v>
      </c>
    </row>
    <row r="8">
      <c r="A8" s="4" t="inlineStr">
        <is>
          <t>6-Bottle Club Shipment (mixed)</t>
        </is>
      </c>
      <c r="B8" s="4" t="n">
        <v>89.98999999999999</v>
      </c>
      <c r="C8" s="5" t="n">
        <v>28.5</v>
      </c>
      <c r="D8" s="5" t="n">
        <v>4.2</v>
      </c>
      <c r="E8" s="5" t="n">
        <v>7.5</v>
      </c>
      <c r="F8" s="5" t="n">
        <v>8.5</v>
      </c>
      <c r="G8" s="8">
        <f>B8+C8+D8+E8+F8</f>
        <v/>
      </c>
      <c r="H8" s="9" t="n">
        <v>0.54</v>
      </c>
    </row>
    <row r="9">
      <c r="A9" s="4" t="inlineStr">
        <is>
          <t>Single Bottle DTC (premium)</t>
        </is>
      </c>
      <c r="B9" s="4" t="n">
        <v>49.99</v>
      </c>
      <c r="C9" s="5" t="n">
        <v>9.800000000000001</v>
      </c>
      <c r="D9" s="5" t="n">
        <v>1.42</v>
      </c>
      <c r="E9" s="5" t="n">
        <v>6.5</v>
      </c>
      <c r="F9" s="5" t="n">
        <v>5.2</v>
      </c>
      <c r="G9" s="8">
        <f>B9+C9+D9+E9+F9</f>
        <v/>
      </c>
      <c r="H9" s="9" t="n">
        <v>0.55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ANNUAL COGS &amp; PROFITABILITY - WINE COMPANY</t>
        </is>
      </c>
    </row>
    <row r="3">
      <c r="A3" s="3" t="inlineStr">
        <is>
          <t>Metric</t>
        </is>
      </c>
      <c r="B3" s="3" t="inlineStr">
        <is>
          <t>Year 1 (Startup)</t>
        </is>
      </c>
      <c r="C3" s="3" t="inlineStr">
        <is>
          <t>Year 2</t>
        </is>
      </c>
      <c r="D3" s="3" t="inlineStr">
        <is>
          <t>Year 3 (Mature)</t>
        </is>
      </c>
    </row>
    <row r="4">
      <c r="A4" s="4" t="inlineStr">
        <is>
          <t>Bottles Sold (annual)</t>
        </is>
      </c>
      <c r="B4" s="10" t="n">
        <v>8500</v>
      </c>
      <c r="C4" s="10" t="n">
        <v>28000</v>
      </c>
      <c r="D4" s="10" t="n">
        <v>85000</v>
      </c>
    </row>
    <row r="5">
      <c r="A5" s="4" t="inlineStr">
        <is>
          <t>Average Revenue per Bottle</t>
        </is>
      </c>
      <c r="B5" s="10" t="n">
        <v>32.5</v>
      </c>
      <c r="C5" s="10" t="n">
        <v>34.8</v>
      </c>
      <c r="D5" s="10" t="n">
        <v>37.2</v>
      </c>
    </row>
    <row r="6">
      <c r="A6" s="4" t="inlineStr">
        <is>
          <t>Total Revenue</t>
        </is>
      </c>
      <c r="B6" s="10">
        <f>B3*B4</f>
        <v/>
      </c>
      <c r="C6" s="10">
        <f>C3*C4</f>
        <v/>
      </c>
      <c r="D6" s="10">
        <f>D3*D4</f>
        <v/>
      </c>
    </row>
    <row r="7">
      <c r="A7" s="4" t="inlineStr">
        <is>
          <t>Total COGS (blended)</t>
        </is>
      </c>
      <c r="B7" s="10">
        <f>B5*0.52</f>
        <v/>
      </c>
      <c r="C7" s="10">
        <f>C5*0.48</f>
        <v/>
      </c>
      <c r="D7" s="10">
        <f>D5*0.45</f>
        <v/>
      </c>
    </row>
    <row r="8">
      <c r="A8" s="4" t="inlineStr">
        <is>
          <t>Gross Profit</t>
        </is>
      </c>
      <c r="B8" s="10">
        <f>B5-B6</f>
        <v/>
      </c>
      <c r="C8" s="10">
        <f>C5-C6</f>
        <v/>
      </c>
      <c r="D8" s="10">
        <f>D5-D6</f>
        <v/>
      </c>
    </row>
    <row r="9">
      <c r="A9" s="4" t="inlineStr">
        <is>
          <t>Gross Margin %</t>
        </is>
      </c>
      <c r="B9" s="9">
        <f>B7/B5</f>
        <v/>
      </c>
      <c r="C9" s="9">
        <f>C7/C5</f>
        <v/>
      </c>
      <c r="D9" s="9">
        <f>D7/D5</f>
        <v/>
      </c>
    </row>
    <row r="10">
      <c r="A10" s="4" t="inlineStr">
        <is>
          <t>Fixed Costs (staff, facility, marketing)</t>
        </is>
      </c>
      <c r="B10" s="10" t="n">
        <v>185000</v>
      </c>
      <c r="C10" s="10" t="n">
        <v>245000</v>
      </c>
      <c r="D10" s="10" t="n">
        <v>320000</v>
      </c>
    </row>
    <row r="11">
      <c r="A11" s="4" t="inlineStr">
        <is>
          <t>EBITDA</t>
        </is>
      </c>
      <c r="B11" s="10">
        <f>B7-B9</f>
        <v/>
      </c>
      <c r="C11" s="10">
        <f>C7-C9</f>
        <v/>
      </c>
      <c r="D11" s="10">
        <f>D7-D9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2026-05-03T15:37:18Z</dcterms:created>
  <dcterms:modified xmlns:dcterms="http://purl.org/dc/terms/" xmlns:xsi="http://www.w3.org/2001/XMLSchema-instance" xsi:type="dcterms:W3CDTF">2026-05-03T15:37:18Z</dcterms:modified>
</cp:coreProperties>
</file>