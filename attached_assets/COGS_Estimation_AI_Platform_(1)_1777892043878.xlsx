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GS per Product" sheetId="2" state="visible" r:id="rId2"/>
    <sheet xmlns:r="http://schemas.openxmlformats.org/officeDocument/2006/relationships" name="Month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$&quot;#,##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</font>
    <font>
      <color rgb="000000FF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6" fillId="2" borderId="1" pivotButton="0" quotePrefix="0" xfId="0"/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0" customWidth="1" min="4" max="4"/>
    <col width="35" customWidth="1" min="5" max="5"/>
  </cols>
  <sheetData>
    <row r="1">
      <c r="A1" s="1" t="inlineStr">
        <is>
          <t>COGS ESTIMATION MODEL - AI + PHYSICAL PRODUCTS PLATFORM</t>
        </is>
      </c>
    </row>
    <row r="3">
      <c r="A3" s="2" t="inlineStr">
        <is>
          <t>KEY ASSUMPTIONS (Blue = Editable Inputs)</t>
        </is>
      </c>
    </row>
    <row r="5">
      <c r="A5" s="3" t="inlineStr">
        <is>
          <t>Category</t>
        </is>
      </c>
      <c r="B5" s="3" t="inlineStr">
        <is>
          <t>Service</t>
        </is>
      </c>
      <c r="C5" s="3" t="inlineStr">
        <is>
          <t>Unit</t>
        </is>
      </c>
      <c r="D5" s="3" t="inlineStr">
        <is>
          <t>Cost per Unit (USD)</t>
        </is>
      </c>
      <c r="E5" s="3" t="inlineStr">
        <is>
          <t>Notes</t>
        </is>
      </c>
    </row>
    <row r="6">
      <c r="A6" s="4" t="inlineStr">
        <is>
          <t>AI APIs</t>
        </is>
      </c>
      <c r="B6" s="4" t="inlineStr">
        <is>
          <t>Claude 3.5 / Gemini 1.5</t>
        </is>
      </c>
      <c r="C6" s="4" t="inlineStr">
        <is>
          <t>1M input tokens</t>
        </is>
      </c>
      <c r="D6" s="5" t="n">
        <v>3</v>
      </c>
      <c r="E6" s="4" t="inlineStr">
        <is>
          <t>Average blended rate</t>
        </is>
      </c>
    </row>
    <row r="7">
      <c r="A7" s="4" t="inlineStr">
        <is>
          <t>AI APIs</t>
        </is>
      </c>
      <c r="B7" s="4" t="inlineStr">
        <is>
          <t>Claude 3.5 / Gemini 1.5</t>
        </is>
      </c>
      <c r="C7" s="4" t="inlineStr">
        <is>
          <t>1M output tokens</t>
        </is>
      </c>
      <c r="D7" s="5" t="n">
        <v>15</v>
      </c>
      <c r="E7" s="4" t="inlineStr">
        <is>
          <t>Average blended rate</t>
        </is>
      </c>
    </row>
    <row r="8">
      <c r="A8" s="4" t="inlineStr">
        <is>
          <t>AI APIs</t>
        </is>
      </c>
      <c r="B8" s="4" t="inlineStr">
        <is>
          <t>Grok (xAI)</t>
        </is>
      </c>
      <c r="C8" s="4" t="inlineStr">
        <is>
          <t>1M tokens (avg)</t>
        </is>
      </c>
      <c r="D8" s="5" t="n">
        <v>8</v>
      </c>
      <c r="E8" s="4" t="inlineStr">
        <is>
          <t>Estimated blended</t>
        </is>
      </c>
    </row>
    <row r="9">
      <c r="A9" s="4" t="inlineStr">
        <is>
          <t>AI Video</t>
        </is>
      </c>
      <c r="B9" s="4" t="inlineStr">
        <is>
          <t>Runway Gen-3</t>
        </is>
      </c>
      <c r="C9" s="4" t="inlineStr">
        <is>
          <t>per second</t>
        </is>
      </c>
      <c r="D9" s="5" t="n">
        <v>0.12</v>
      </c>
      <c r="E9" s="4" t="inlineStr">
        <is>
          <t>Standard quality</t>
        </is>
      </c>
    </row>
    <row r="10">
      <c r="A10" s="4" t="inlineStr">
        <is>
          <t>AI Video</t>
        </is>
      </c>
      <c r="B10" s="4" t="inlineStr">
        <is>
          <t>Runway Gen-3 Turbo</t>
        </is>
      </c>
      <c r="C10" s="4" t="inlineStr">
        <is>
          <t>per second</t>
        </is>
      </c>
      <c r="D10" s="5" t="n">
        <v>0.06</v>
      </c>
      <c r="E10" s="4" t="inlineStr">
        <is>
          <t>Faster/cheaper</t>
        </is>
      </c>
    </row>
    <row r="11">
      <c r="A11" s="4" t="inlineStr">
        <is>
          <t>AI Image</t>
        </is>
      </c>
      <c r="B11" s="4" t="inlineStr">
        <is>
          <t>Freepik / Replicate</t>
        </is>
      </c>
      <c r="C11" s="4" t="inlineStr">
        <is>
          <t>per image (SDXL/Flux)</t>
        </is>
      </c>
      <c r="D11" s="5" t="n">
        <v>0.008</v>
      </c>
      <c r="E11" s="4" t="inlineStr">
        <is>
          <t>Average high quality</t>
        </is>
      </c>
    </row>
    <row r="12">
      <c r="A12" s="4" t="inlineStr">
        <is>
          <t>AI Voice</t>
        </is>
      </c>
      <c r="B12" s="4" t="inlineStr">
        <is>
          <t>Elven Labs</t>
        </is>
      </c>
      <c r="C12" s="4" t="inlineStr">
        <is>
          <t>per minute</t>
        </is>
      </c>
      <c r="D12" s="5" t="n">
        <v>0.18</v>
      </c>
      <c r="E12" s="4" t="inlineStr">
        <is>
          <t>Premium voice</t>
        </is>
      </c>
    </row>
    <row r="13">
      <c r="A13" s="4" t="inlineStr">
        <is>
          <t>Physical</t>
        </is>
      </c>
      <c r="B13" s="4" t="inlineStr">
        <is>
          <t>Print-on-Demand Book (150pg)</t>
        </is>
      </c>
      <c r="C13" s="4" t="inlineStr">
        <is>
          <t>per unit</t>
        </is>
      </c>
      <c r="D13" s="5" t="n">
        <v>6.5</v>
      </c>
      <c r="E13" s="4" t="inlineStr">
        <is>
          <t>Blurb/IngramSpark average</t>
        </is>
      </c>
    </row>
    <row r="14">
      <c r="A14" s="4" t="inlineStr">
        <is>
          <t>Physical</t>
        </is>
      </c>
      <c r="B14" s="4" t="inlineStr">
        <is>
          <t>Print-on-Demand Comic (24pg)</t>
        </is>
      </c>
      <c r="C14" s="4" t="inlineStr">
        <is>
          <t>per unit</t>
        </is>
      </c>
      <c r="D14" s="5" t="n">
        <v>3.8</v>
      </c>
      <c r="E14" s="4" t="inlineStr">
        <is>
          <t>Full color</t>
        </is>
      </c>
    </row>
    <row r="15">
      <c r="A15" s="4" t="inlineStr">
        <is>
          <t>Physical</t>
        </is>
      </c>
      <c r="B15" s="4" t="inlineStr">
        <is>
          <t>3D Print (medium size, PLA)</t>
        </is>
      </c>
      <c r="C15" s="4" t="inlineStr">
        <is>
          <t>per model</t>
        </is>
      </c>
      <c r="D15" s="5" t="n">
        <v>18</v>
      </c>
      <c r="E15" s="4" t="inlineStr">
        <is>
          <t>Including material + labor</t>
        </is>
      </c>
    </row>
    <row r="16">
      <c r="A16" s="4" t="inlineStr">
        <is>
          <t>Shipping</t>
        </is>
      </c>
      <c r="B16" s="4" t="inlineStr">
        <is>
          <t>Domestic (US)</t>
        </is>
      </c>
      <c r="C16" s="4" t="inlineStr">
        <is>
          <t>per package</t>
        </is>
      </c>
      <c r="D16" s="5" t="n">
        <v>6.5</v>
      </c>
      <c r="E16" s="4" t="inlineStr">
        <is>
          <t>USPS/UPS average</t>
        </is>
      </c>
    </row>
    <row r="17">
      <c r="A17" s="4" t="inlineStr">
        <is>
          <t>Shipping</t>
        </is>
      </c>
      <c r="B17" s="4" t="inlineStr">
        <is>
          <t>International</t>
        </is>
      </c>
      <c r="C17" s="4" t="inlineStr">
        <is>
          <t>per package</t>
        </is>
      </c>
      <c r="D17" s="5" t="n">
        <v>14</v>
      </c>
      <c r="E17" s="4" t="inlineStr">
        <is>
          <t>Average</t>
        </is>
      </c>
    </row>
    <row r="18">
      <c r="A18" s="4" t="inlineStr">
        <is>
          <t>Payment</t>
        </is>
      </c>
      <c r="B18" s="4" t="inlineStr">
        <is>
          <t>Stripe Fee</t>
        </is>
      </c>
      <c r="C18" s="4" t="inlineStr">
        <is>
          <t>% + fixed</t>
        </is>
      </c>
      <c r="D18" s="5" t="inlineStr">
        <is>
          <t>2.9% + $0.30</t>
        </is>
      </c>
      <c r="E18" s="4" t="inlineStr">
        <is>
          <t>Standard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6" t="inlineStr">
        <is>
          <t>PRODUCTION COST PER UNIT (COGS) BY PRODUCT TYPE</t>
        </is>
      </c>
    </row>
    <row r="3">
      <c r="A3" s="7" t="inlineStr">
        <is>
          <t>Product Type</t>
        </is>
      </c>
      <c r="B3" s="7" t="inlineStr">
        <is>
          <t>AI Cost</t>
        </is>
      </c>
      <c r="C3" s="7" t="inlineStr">
        <is>
          <t>Printing / Manufacturing</t>
        </is>
      </c>
      <c r="D3" s="7" t="inlineStr">
        <is>
          <t>Shipping</t>
        </is>
      </c>
      <c r="E3" s="7" t="inlineStr">
        <is>
          <t>Payment Fee</t>
        </is>
      </c>
      <c r="F3" s="7" t="inlineStr">
        <is>
          <t>Total COGS</t>
        </is>
      </c>
      <c r="G3" s="7" t="inlineStr">
        <is>
          <t>Gross Margin (at $29.99)</t>
        </is>
      </c>
    </row>
    <row r="4">
      <c r="A4" s="4" t="inlineStr">
        <is>
          <t>Digital AI Image Pack (10 images)</t>
        </is>
      </c>
      <c r="B4" s="8" t="n">
        <v>0.08</v>
      </c>
      <c r="C4" s="4" t="n">
        <v>0</v>
      </c>
      <c r="D4" s="4" t="n">
        <v>0</v>
      </c>
      <c r="E4" s="4" t="n">
        <v>0.87</v>
      </c>
      <c r="F4" s="9">
        <f>B4+E4</f>
        <v/>
      </c>
      <c r="G4" s="10">
        <f>F4</f>
        <v/>
      </c>
    </row>
    <row r="5">
      <c r="A5" s="4" t="inlineStr">
        <is>
          <t>Digital Short Video (30s)</t>
        </is>
      </c>
      <c r="B5" s="8" t="n">
        <v>3.6</v>
      </c>
      <c r="C5" s="4" t="n">
        <v>0</v>
      </c>
      <c r="D5" s="4" t="n">
        <v>0</v>
      </c>
      <c r="E5" s="4" t="n">
        <v>1.17</v>
      </c>
      <c r="F5" s="9">
        <f>B5+E5</f>
        <v/>
      </c>
      <c r="G5" s="10">
        <f>F5</f>
        <v/>
      </c>
    </row>
    <row r="6">
      <c r="A6" s="4" t="inlineStr">
        <is>
          <t>Digital Comic (24 pages + images)</t>
        </is>
      </c>
      <c r="B6" s="8" t="n">
        <v>4.2</v>
      </c>
      <c r="C6" s="4" t="n">
        <v>0</v>
      </c>
      <c r="D6" s="4" t="n">
        <v>0</v>
      </c>
      <c r="E6" s="4" t="n">
        <v>1.2</v>
      </c>
      <c r="F6" s="9">
        <f>B6+E6</f>
        <v/>
      </c>
      <c r="G6" s="10">
        <f>F6</f>
        <v/>
      </c>
    </row>
    <row r="7">
      <c r="A7" s="4" t="inlineStr">
        <is>
          <t>Digital 3D Model (high detail)</t>
        </is>
      </c>
      <c r="B7" s="8" t="n">
        <v>2.8</v>
      </c>
      <c r="C7" s="4" t="n">
        <v>0</v>
      </c>
      <c r="D7" s="4" t="n">
        <v>0</v>
      </c>
      <c r="E7" s="4" t="n">
        <v>1</v>
      </c>
      <c r="F7" s="9">
        <f>B7+E7</f>
        <v/>
      </c>
      <c r="G7" s="10">
        <f>F7</f>
        <v/>
      </c>
    </row>
    <row r="8">
      <c r="A8" s="4" t="inlineStr">
        <is>
          <t>Physical Book (150pg, POD)</t>
        </is>
      </c>
      <c r="B8" s="8" t="n">
        <v>4.5</v>
      </c>
      <c r="C8" s="4" t="n">
        <v>6.5</v>
      </c>
      <c r="D8" s="4" t="n">
        <v>6.5</v>
      </c>
      <c r="E8" s="4" t="n">
        <v>1.45</v>
      </c>
      <c r="F8" s="9">
        <f>B8+C8+D8+E8</f>
        <v/>
      </c>
      <c r="G8" s="10">
        <f>F8</f>
        <v/>
      </c>
    </row>
    <row r="9">
      <c r="A9" s="4" t="inlineStr">
        <is>
          <t>Physical Comic (24pg, POD)</t>
        </is>
      </c>
      <c r="B9" s="8" t="n">
        <v>2.1</v>
      </c>
      <c r="C9" s="4" t="n">
        <v>3.8</v>
      </c>
      <c r="D9" s="4" t="n">
        <v>5.5</v>
      </c>
      <c r="E9" s="4" t="n">
        <v>0.95</v>
      </c>
      <c r="F9" s="9">
        <f>B9+C9+D9+E9</f>
        <v/>
      </c>
      <c r="G9" s="10">
        <f>F9</f>
        <v/>
      </c>
    </row>
    <row r="10">
      <c r="A10" s="4" t="inlineStr">
        <is>
          <t>Physical 3D Model (printed + shipped)</t>
        </is>
      </c>
      <c r="B10" s="8" t="n">
        <v>2.8</v>
      </c>
      <c r="C10" s="4" t="n">
        <v>18</v>
      </c>
      <c r="D10" s="4" t="n">
        <v>9</v>
      </c>
      <c r="E10" s="4" t="n">
        <v>1.2</v>
      </c>
      <c r="F10" s="9">
        <f>B10+C10+D10+E10</f>
        <v/>
      </c>
      <c r="G10" s="10">
        <f>F10</f>
        <v/>
      </c>
    </row>
    <row r="11">
      <c r="A11" s="4" t="inlineStr">
        <is>
          <t>Bundle: Digital + Physical Book</t>
        </is>
      </c>
      <c r="B11" s="8" t="n">
        <v>4.5</v>
      </c>
      <c r="C11" s="4" t="n">
        <v>6.5</v>
      </c>
      <c r="D11" s="4" t="n">
        <v>6.5</v>
      </c>
      <c r="E11" s="4" t="n">
        <v>1.85</v>
      </c>
      <c r="F11" s="9">
        <f>B11+C11+D11+E11</f>
        <v/>
      </c>
      <c r="G11" s="10">
        <f>F11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MONTHLY COGS &amp; PROFITABILITY ESTIMATE</t>
        </is>
      </c>
    </row>
    <row r="3">
      <c r="A3" s="3" t="inlineStr">
        <is>
          <t>Metric</t>
        </is>
      </c>
      <c r="B3" s="3" t="inlineStr">
        <is>
          <t>Low Volume</t>
        </is>
      </c>
      <c r="C3" s="3" t="inlineStr">
        <is>
          <t>Medium Volume</t>
        </is>
      </c>
      <c r="D3" s="3" t="inlineStr">
        <is>
          <t>High Volume</t>
        </is>
      </c>
    </row>
    <row r="4">
      <c r="A4" s="4" t="inlineStr">
        <is>
          <t>Monthly Orders</t>
        </is>
      </c>
      <c r="B4" s="11" t="n">
        <v>150</v>
      </c>
      <c r="C4" s="11" t="n">
        <v>800</v>
      </c>
      <c r="D4" s="11" t="n">
        <v>3500</v>
      </c>
    </row>
    <row r="5">
      <c r="A5" s="4" t="inlineStr">
        <is>
          <t>Avg Revenue per Order</t>
        </is>
      </c>
      <c r="B5" s="11" t="n">
        <v>24.5</v>
      </c>
      <c r="C5" s="11" t="n">
        <v>27.8</v>
      </c>
      <c r="D5" s="11" t="n">
        <v>31.2</v>
      </c>
    </row>
    <row r="6">
      <c r="A6" s="4" t="inlineStr">
        <is>
          <t>Total Revenue</t>
        </is>
      </c>
      <c r="B6" s="11">
        <f>B3*B4</f>
        <v/>
      </c>
      <c r="C6" s="11">
        <f>C3*C4</f>
        <v/>
      </c>
      <c r="D6" s="11">
        <f>D3*D4</f>
        <v/>
      </c>
    </row>
    <row r="7">
      <c r="A7" s="4" t="inlineStr">
        <is>
          <t>Est. Total COGS</t>
        </is>
      </c>
      <c r="B7" s="11">
        <f>B5*0.42</f>
        <v/>
      </c>
      <c r="C7" s="11">
        <f>C5*0.38</f>
        <v/>
      </c>
      <c r="D7" s="11">
        <f>D5*0.35</f>
        <v/>
      </c>
    </row>
    <row r="8">
      <c r="A8" s="4" t="inlineStr">
        <is>
          <t>Gross Profit</t>
        </is>
      </c>
      <c r="B8" s="11">
        <f>B5-B6</f>
        <v/>
      </c>
      <c r="C8" s="11">
        <f>C5-C6</f>
        <v/>
      </c>
      <c r="D8" s="11">
        <f>D5-D6</f>
        <v/>
      </c>
    </row>
    <row r="9">
      <c r="A9" s="4" t="inlineStr">
        <is>
          <t>Gross Margin %</t>
        </is>
      </c>
      <c r="B9" s="10">
        <f>B7/B5</f>
        <v/>
      </c>
      <c r="C9" s="10">
        <f>C7/C5</f>
        <v/>
      </c>
      <c r="D9" s="10">
        <f>D7/D5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2026-05-03T15:27:22Z</dcterms:created>
  <dcterms:modified xmlns:dcterms="http://purl.org/dc/terms/" xmlns:xsi="http://www.w3.org/2001/XMLSchema-instance" xsi:type="dcterms:W3CDTF">2026-05-03T15:27:22Z</dcterms:modified>
</cp:coreProperties>
</file>